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JampMar\Desktop\code\qiuqiu\tc_ble_simple_sdk_B80_V3.4.2.2_P10\b80_ble_sdk\vendor\ble_cat_laser_toy\hardware\v7\"/>
    </mc:Choice>
  </mc:AlternateContent>
  <xr:revisionPtr revIDLastSave="0" documentId="8_{AAFF097E-E6B7-48C7-B7D5-CBDD39F39FA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AICat BOM V1.5 (明细报价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2" i="1" l="1"/>
  <c r="J69" i="1"/>
  <c r="J68" i="1"/>
  <c r="J67" i="1"/>
  <c r="J66" i="1"/>
  <c r="H61" i="1"/>
  <c r="J61" i="1" s="1"/>
  <c r="H60" i="1"/>
  <c r="J60" i="1" s="1"/>
  <c r="H59" i="1"/>
  <c r="J59" i="1" s="1"/>
  <c r="H58" i="1"/>
  <c r="J58" i="1" s="1"/>
  <c r="I53" i="1"/>
  <c r="H52" i="1"/>
  <c r="I52" i="1" s="1"/>
  <c r="I51" i="1"/>
  <c r="I50" i="1"/>
  <c r="K49" i="1"/>
  <c r="I49" i="1"/>
  <c r="K48" i="1"/>
  <c r="I48" i="1"/>
  <c r="K47" i="1"/>
  <c r="I47" i="1"/>
  <c r="K46" i="1"/>
  <c r="I46" i="1"/>
  <c r="K45" i="1"/>
  <c r="I45" i="1"/>
  <c r="K44" i="1"/>
  <c r="I44" i="1"/>
  <c r="K43" i="1"/>
  <c r="I43" i="1"/>
  <c r="K42" i="1"/>
  <c r="I42" i="1"/>
  <c r="K41" i="1"/>
  <c r="I41" i="1"/>
  <c r="K40" i="1"/>
  <c r="I40" i="1"/>
  <c r="K39" i="1"/>
  <c r="I39" i="1"/>
  <c r="K38" i="1"/>
  <c r="I38" i="1"/>
  <c r="K37" i="1"/>
  <c r="I37" i="1"/>
  <c r="K36" i="1"/>
  <c r="I36" i="1"/>
  <c r="K35" i="1"/>
  <c r="I35" i="1"/>
  <c r="K34" i="1"/>
  <c r="I34" i="1"/>
  <c r="K33" i="1"/>
  <c r="I33" i="1"/>
  <c r="K32" i="1"/>
  <c r="I32" i="1"/>
  <c r="K31" i="1"/>
  <c r="I31" i="1"/>
  <c r="K30" i="1"/>
  <c r="I30" i="1"/>
  <c r="K29" i="1"/>
  <c r="I29" i="1"/>
  <c r="K28" i="1"/>
  <c r="I28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K11" i="1"/>
  <c r="I11" i="1"/>
  <c r="K10" i="1"/>
  <c r="I10" i="1"/>
  <c r="K6" i="1"/>
  <c r="I6" i="1"/>
  <c r="K5" i="1"/>
  <c r="I5" i="1"/>
  <c r="K4" i="1"/>
  <c r="I4" i="1"/>
  <c r="K3" i="1"/>
  <c r="I3" i="1"/>
  <c r="K2" i="1"/>
  <c r="K54" i="1" s="1"/>
  <c r="I57" i="1" s="1"/>
  <c r="J57" i="1" s="1"/>
  <c r="I2" i="1"/>
  <c r="I54" i="1" l="1"/>
  <c r="J62" i="1"/>
  <c r="J63" i="1"/>
</calcChain>
</file>

<file path=xl/sharedStrings.xml><?xml version="1.0" encoding="utf-8"?>
<sst xmlns="http://schemas.openxmlformats.org/spreadsheetml/2006/main" count="279" uniqueCount="218">
  <si>
    <t>序号</t>
  </si>
  <si>
    <t>名称</t>
  </si>
  <si>
    <t>规格</t>
  </si>
  <si>
    <t>位号</t>
  </si>
  <si>
    <t>封装</t>
  </si>
  <si>
    <t>数量</t>
  </si>
  <si>
    <t>立创编号</t>
  </si>
  <si>
    <t>单价</t>
  </si>
  <si>
    <t>整板金额</t>
  </si>
  <si>
    <t>焊点</t>
  </si>
  <si>
    <t>焊点总数</t>
  </si>
  <si>
    <t>备选推荐确认</t>
  </si>
  <si>
    <t>贴片电容</t>
  </si>
  <si>
    <t>100nF-0603-50v 10% X7R</t>
  </si>
  <si>
    <t>C1.C24.C8.C9.C15.C21.C27.C28</t>
  </si>
  <si>
    <t>0603_C</t>
  </si>
  <si>
    <t>三环、国巨、三星、微容</t>
  </si>
  <si>
    <t>1uf-0603-16v_10% X5R</t>
  </si>
  <si>
    <t>C2.C18.C19.C22</t>
  </si>
  <si>
    <t>10uF-0603-16v 10% x5r</t>
  </si>
  <si>
    <t>C4.C5.C6,C29</t>
  </si>
  <si>
    <t>220pF-0402-50v 10% X7R</t>
  </si>
  <si>
    <t>C10</t>
  </si>
  <si>
    <t>0402_c</t>
  </si>
  <si>
    <t>NC</t>
  </si>
  <si>
    <t>0402_C</t>
  </si>
  <si>
    <r>
      <t>C1</t>
    </r>
    <r>
      <rPr>
        <sz val="10"/>
        <rFont val="Arial"/>
        <family val="2"/>
      </rPr>
      <t>1</t>
    </r>
  </si>
  <si>
    <t>C12</t>
  </si>
  <si>
    <t>C16.C17</t>
  </si>
  <si>
    <t>0603_c</t>
  </si>
  <si>
    <t>不焊</t>
  </si>
  <si>
    <t xml:space="preserve">22uf-0805-16v-20% X5R </t>
  </si>
  <si>
    <t>C25.C26</t>
  </si>
  <si>
    <t>0805_c</t>
  </si>
  <si>
    <t>电解电容</t>
  </si>
  <si>
    <t>220uF-10V</t>
  </si>
  <si>
    <t>C20</t>
  </si>
  <si>
    <r>
      <rPr>
        <sz val="8"/>
        <rFont val="MS Sans Serif"/>
      </rPr>
      <t xml:space="preserve">SMD 6.3*5.4 </t>
    </r>
    <r>
      <rPr>
        <sz val="8"/>
        <rFont val="宋体"/>
        <charset val="134"/>
      </rPr>
      <t>电解</t>
    </r>
  </si>
  <si>
    <t>C47023099</t>
  </si>
  <si>
    <t>VMMC0541A221MVTM 上海永铭</t>
  </si>
  <si>
    <t>二极管</t>
  </si>
  <si>
    <r>
      <rPr>
        <sz val="8"/>
        <rFont val="MS Sans Serif"/>
      </rPr>
      <t xml:space="preserve">SMF6.0CA </t>
    </r>
    <r>
      <rPr>
        <sz val="8"/>
        <rFont val="宋体"/>
        <charset val="134"/>
      </rPr>
      <t>双向</t>
    </r>
    <r>
      <rPr>
        <sz val="8"/>
        <rFont val="MS Sans Serif"/>
      </rPr>
      <t xml:space="preserve"> </t>
    </r>
  </si>
  <si>
    <t>D1</t>
  </si>
  <si>
    <t xml:space="preserve">SOD-123 </t>
  </si>
  <si>
    <t>C123791</t>
  </si>
  <si>
    <t>萨瑞微</t>
  </si>
  <si>
    <t>D2</t>
  </si>
  <si>
    <t>0402-D</t>
  </si>
  <si>
    <r>
      <rPr>
        <sz val="8"/>
        <rFont val="MS Sans Serif"/>
      </rPr>
      <t xml:space="preserve">ESD5Z5.0T1G </t>
    </r>
    <r>
      <rPr>
        <sz val="10"/>
        <rFont val="宋体"/>
        <charset val="134"/>
      </rPr>
      <t>单向</t>
    </r>
  </si>
  <si>
    <t>D5</t>
  </si>
  <si>
    <t>SOD-535</t>
  </si>
  <si>
    <t>DSK24</t>
  </si>
  <si>
    <t>D3</t>
  </si>
  <si>
    <t>SOD-123FL</t>
  </si>
  <si>
    <t>SS54</t>
  </si>
  <si>
    <t>D7</t>
  </si>
  <si>
    <t>SMA</t>
  </si>
  <si>
    <t>功率电感</t>
  </si>
  <si>
    <t>47uH CD31</t>
  </si>
  <si>
    <t>L4</t>
  </si>
  <si>
    <t>IND-SMD_L3.5-W3.0_CD31</t>
  </si>
  <si>
    <t>C5374204</t>
  </si>
  <si>
    <r>
      <rPr>
        <sz val="10"/>
        <rFont val="宋体"/>
        <charset val="134"/>
      </rPr>
      <t>推荐：</t>
    </r>
    <r>
      <rPr>
        <sz val="10"/>
        <rFont val="Arial"/>
      </rPr>
      <t xml:space="preserve">FCD32-470K  </t>
    </r>
    <r>
      <rPr>
        <sz val="10"/>
        <rFont val="宋体"/>
        <charset val="134"/>
      </rPr>
      <t>CJ</t>
    </r>
  </si>
  <si>
    <r>
      <rPr>
        <sz val="10"/>
        <rFont val="Arial"/>
      </rPr>
      <t>RGB</t>
    </r>
    <r>
      <rPr>
        <sz val="10"/>
        <rFont val="宋体"/>
        <charset val="134"/>
      </rPr>
      <t>三色</t>
    </r>
    <r>
      <rPr>
        <sz val="10"/>
        <rFont val="Arial"/>
      </rPr>
      <t>LED</t>
    </r>
  </si>
  <si>
    <r>
      <rPr>
        <sz val="8"/>
        <rFont val="宋体"/>
        <charset val="134"/>
      </rPr>
      <t>共阴</t>
    </r>
    <r>
      <rPr>
        <sz val="8"/>
        <rFont val="MS Sans Serif"/>
      </rPr>
      <t xml:space="preserve"> XL-A3528RGBC-BM</t>
    </r>
  </si>
  <si>
    <t>LED1</t>
  </si>
  <si>
    <t>LED-ARRAY-SMD_4P-L3.2-W2.8-LS3.5-BL_XL-A3528RGBC-BM</t>
  </si>
  <si>
    <t>C3647023</t>
  </si>
  <si>
    <t>红绿双色</t>
  </si>
  <si>
    <r>
      <rPr>
        <sz val="8"/>
        <rFont val="宋体"/>
        <charset val="134"/>
      </rPr>
      <t>红绿双色</t>
    </r>
    <r>
      <rPr>
        <sz val="8"/>
        <rFont val="MS Sans Serif"/>
      </rPr>
      <t xml:space="preserve">
SMD-4P,3.2x1.6mm</t>
    </r>
  </si>
  <si>
    <t>LED2</t>
  </si>
  <si>
    <t>LED-SMD_4P-L3.2-W1.6-TL_XL-3216SURUGC</t>
  </si>
  <si>
    <t>C5221230</t>
  </si>
  <si>
    <t>PMOS</t>
  </si>
  <si>
    <t>SI2301</t>
  </si>
  <si>
    <t>Q1.Q4</t>
  </si>
  <si>
    <t>SOT-23</t>
  </si>
  <si>
    <t>AO3401</t>
  </si>
  <si>
    <t>Q6</t>
  </si>
  <si>
    <r>
      <rPr>
        <sz val="8"/>
        <rFont val="MS Sans Serif"/>
      </rPr>
      <t>NPN</t>
    </r>
    <r>
      <rPr>
        <sz val="8"/>
        <rFont val="宋体"/>
        <charset val="134"/>
      </rPr>
      <t>三极管</t>
    </r>
  </si>
  <si>
    <t>S8050</t>
  </si>
  <si>
    <t>Q2.Q5</t>
  </si>
  <si>
    <t>SOT-23(SOT-23-3)</t>
  </si>
  <si>
    <t>NMOS</t>
  </si>
  <si>
    <t>AO3400</t>
  </si>
  <si>
    <t>Q3</t>
  </si>
  <si>
    <t>2N7002</t>
  </si>
  <si>
    <t>Q7</t>
  </si>
  <si>
    <t>CJ2N7002、萨瑞微SR2N7002K、YJ 2N7002KC</t>
  </si>
  <si>
    <t>贴片电阻</t>
  </si>
  <si>
    <t>鼎声微 国巨 厚生</t>
  </si>
  <si>
    <t>贴片电感</t>
  </si>
  <si>
    <r>
      <t xml:space="preserve">3nH-0402    </t>
    </r>
    <r>
      <rPr>
        <sz val="10"/>
        <rFont val="宋体"/>
        <charset val="134"/>
      </rPr>
      <t>叠层电感</t>
    </r>
  </si>
  <si>
    <t>L2</t>
  </si>
  <si>
    <t>0402</t>
  </si>
  <si>
    <r>
      <t xml:space="preserve">2.7nH-0402 </t>
    </r>
    <r>
      <rPr>
        <sz val="10"/>
        <rFont val="宋体"/>
        <family val="2"/>
      </rPr>
      <t>叠层电感</t>
    </r>
  </si>
  <si>
    <t>C27123</t>
  </si>
  <si>
    <t>2k-0603-1%</t>
  </si>
  <si>
    <t>R40</t>
  </si>
  <si>
    <t>0603_R</t>
  </si>
  <si>
    <t>3.9k-0603-1%</t>
  </si>
  <si>
    <t>R1</t>
  </si>
  <si>
    <t>10k-0603-1%</t>
  </si>
  <si>
    <t>R2.R9.R13.R20.R30.R31.R34.R35.R37.R38</t>
  </si>
  <si>
    <t>20k-0603-5%</t>
  </si>
  <si>
    <t>R36</t>
  </si>
  <si>
    <t>R250-1206-5%</t>
  </si>
  <si>
    <t>R3</t>
  </si>
  <si>
    <t>1206_R</t>
  </si>
  <si>
    <t>C2934302</t>
  </si>
  <si>
    <t>5.1K-0603-1%</t>
  </si>
  <si>
    <t>R4.R5</t>
  </si>
  <si>
    <t>560K-0603-1%</t>
  </si>
  <si>
    <t>R6.R12.R29</t>
  </si>
  <si>
    <t>1K-0603-5%</t>
  </si>
  <si>
    <t>R7.R8.R10.R11.R14.R16.R18.R32.R33</t>
  </si>
  <si>
    <t>100R-0603-1%</t>
  </si>
  <si>
    <t>R15.R39</t>
  </si>
  <si>
    <t>100K-0603-1%</t>
  </si>
  <si>
    <t>R17</t>
  </si>
  <si>
    <t>330R-0603-5%</t>
  </si>
  <si>
    <t>R19.R21.R22.R23.R24.R25.R26.R27.R28</t>
  </si>
  <si>
    <t>轻触按键</t>
  </si>
  <si>
    <r>
      <rPr>
        <sz val="8"/>
        <rFont val="MS Sans Serif"/>
      </rPr>
      <t xml:space="preserve">6*6*10 </t>
    </r>
    <r>
      <rPr>
        <sz val="8"/>
        <rFont val="宋体"/>
        <charset val="134"/>
      </rPr>
      <t>立贴</t>
    </r>
  </si>
  <si>
    <t>K1</t>
  </si>
  <si>
    <t>6*6</t>
  </si>
  <si>
    <t>C2685902</t>
  </si>
  <si>
    <r>
      <rPr>
        <sz val="10"/>
        <rFont val="宋体"/>
        <charset val="134"/>
      </rPr>
      <t>乐清康宏</t>
    </r>
    <r>
      <rPr>
        <sz val="10"/>
        <rFont val="Arial"/>
      </rPr>
      <t>TSB06331-100D532DH</t>
    </r>
  </si>
  <si>
    <t>充电芯片</t>
  </si>
  <si>
    <t>TP4056X</t>
  </si>
  <si>
    <t>U1</t>
  </si>
  <si>
    <t>SOP8-9</t>
  </si>
  <si>
    <t>C2763448</t>
  </si>
  <si>
    <t>TP4056X-42-ESOP8</t>
  </si>
  <si>
    <t>LDO</t>
  </si>
  <si>
    <t>SSP7615  3.3v</t>
  </si>
  <si>
    <t>U2</t>
  </si>
  <si>
    <t>SOT-23-5</t>
  </si>
  <si>
    <t>C3011519</t>
  </si>
  <si>
    <r>
      <rPr>
        <sz val="10"/>
        <rFont val="Arial"/>
      </rPr>
      <t xml:space="preserve">SSP7615-33M5R </t>
    </r>
    <r>
      <rPr>
        <sz val="10"/>
        <rFont val="宋体"/>
        <charset val="134"/>
      </rPr>
      <t>矽朋微</t>
    </r>
  </si>
  <si>
    <t>蓝牙芯片</t>
  </si>
  <si>
    <t>TLSR8208C</t>
  </si>
  <si>
    <t>U3</t>
  </si>
  <si>
    <t>QFN-40_L5.0-W5.0-P0.40-BL-EP3.7</t>
  </si>
  <si>
    <t>客供</t>
  </si>
  <si>
    <t>电机驱动芯片</t>
  </si>
  <si>
    <t>ULN2802</t>
  </si>
  <si>
    <t>U4.U6</t>
  </si>
  <si>
    <t>ESSOP-10</t>
  </si>
  <si>
    <t>C2828555</t>
  </si>
  <si>
    <t>芯片</t>
  </si>
  <si>
    <t>HE9116A50NR</t>
  </si>
  <si>
    <t>U5</t>
  </si>
  <si>
    <t>C41366987</t>
  </si>
  <si>
    <t xml:space="preserve">TYPE-C </t>
  </si>
  <si>
    <t>TYPE-C 6P</t>
  </si>
  <si>
    <t>USB1</t>
  </si>
  <si>
    <t>TPYE-C-6</t>
  </si>
  <si>
    <t>C668623</t>
  </si>
  <si>
    <t>无源晶振</t>
  </si>
  <si>
    <t>24MHz  12PF +-20PPM</t>
  </si>
  <si>
    <t>Y1</t>
  </si>
  <si>
    <t>CRYSTAL-SMD_4P-L3.2-W2.5</t>
  </si>
  <si>
    <t>C5444545</t>
  </si>
  <si>
    <t>广东惠伦3S24000262 
合肥晶威特CF4024M00012T1262013 
扬兴XL2OI-111-24M</t>
  </si>
  <si>
    <r>
      <rPr>
        <sz val="10"/>
        <rFont val="Arial"/>
      </rPr>
      <t>2P</t>
    </r>
    <r>
      <rPr>
        <sz val="10"/>
        <rFont val="宋体"/>
        <charset val="134"/>
      </rPr>
      <t>端子</t>
    </r>
  </si>
  <si>
    <r>
      <rPr>
        <sz val="8"/>
        <rFont val="MS Sans Serif"/>
      </rPr>
      <t xml:space="preserve">1.25mm 2P </t>
    </r>
    <r>
      <rPr>
        <sz val="8"/>
        <rFont val="宋体"/>
        <charset val="134"/>
      </rPr>
      <t>立贴</t>
    </r>
  </si>
  <si>
    <t>Laser</t>
  </si>
  <si>
    <t>CONN-SMD_2P-P1.25-LT</t>
  </si>
  <si>
    <t>C393945</t>
  </si>
  <si>
    <t>乐清华宝11-0702002-331</t>
  </si>
  <si>
    <r>
      <rPr>
        <sz val="10"/>
        <rFont val="Arial"/>
      </rPr>
      <t>4P</t>
    </r>
    <r>
      <rPr>
        <sz val="10"/>
        <rFont val="宋体"/>
        <charset val="134"/>
      </rPr>
      <t>端子</t>
    </r>
  </si>
  <si>
    <r>
      <rPr>
        <sz val="8"/>
        <rFont val="MS Sans Serif"/>
      </rPr>
      <t xml:space="preserve">1.25mm 4P </t>
    </r>
    <r>
      <rPr>
        <sz val="8"/>
        <rFont val="宋体"/>
        <charset val="134"/>
      </rPr>
      <t>立贴</t>
    </r>
  </si>
  <si>
    <t>LeiDa</t>
  </si>
  <si>
    <t>CONN-SMD_4P-P1.25_LT</t>
  </si>
  <si>
    <t>C668611</t>
  </si>
  <si>
    <t>乐清华宝11-0702004-331</t>
  </si>
  <si>
    <r>
      <rPr>
        <sz val="10"/>
        <rFont val="Arial"/>
      </rPr>
      <t>5P</t>
    </r>
    <r>
      <rPr>
        <sz val="10"/>
        <rFont val="宋体"/>
        <charset val="134"/>
      </rPr>
      <t>端子</t>
    </r>
  </si>
  <si>
    <r>
      <rPr>
        <sz val="8"/>
        <rFont val="MS Sans Serif"/>
      </rPr>
      <t xml:space="preserve">1.25mm 5P </t>
    </r>
    <r>
      <rPr>
        <sz val="8"/>
        <rFont val="宋体"/>
        <charset val="134"/>
      </rPr>
      <t>立贴</t>
    </r>
  </si>
  <si>
    <t>M1.M2</t>
  </si>
  <si>
    <t>CONN-SMD_1.25-5PLT</t>
  </si>
  <si>
    <t>C668612</t>
  </si>
  <si>
    <t>乐清华宝11-0702005-33C</t>
  </si>
  <si>
    <r>
      <rPr>
        <sz val="10"/>
        <rFont val="Arial"/>
      </rPr>
      <t>PCB</t>
    </r>
    <r>
      <rPr>
        <sz val="10"/>
        <rFont val="宋体"/>
        <charset val="134"/>
      </rPr>
      <t>板</t>
    </r>
  </si>
  <si>
    <t>63.8mm*43.6mm*1.6mm</t>
  </si>
  <si>
    <r>
      <rPr>
        <sz val="10"/>
        <rFont val="Arial"/>
      </rPr>
      <t>3P</t>
    </r>
    <r>
      <rPr>
        <sz val="10"/>
        <rFont val="宋体"/>
        <charset val="134"/>
      </rPr>
      <t>电源线</t>
    </r>
  </si>
  <si>
    <r>
      <rPr>
        <sz val="10"/>
        <rFont val="Arial"/>
      </rPr>
      <t>UV</t>
    </r>
    <r>
      <rPr>
        <sz val="10"/>
        <rFont val="宋体"/>
        <charset val="134"/>
      </rPr>
      <t>三防漆</t>
    </r>
  </si>
  <si>
    <t>包材</t>
  </si>
  <si>
    <t>材料费用求和</t>
  </si>
  <si>
    <t>单机费用</t>
  </si>
  <si>
    <t>SMT</t>
  </si>
  <si>
    <t>DIP</t>
  </si>
  <si>
    <t>测试</t>
  </si>
  <si>
    <t>UV三防漆</t>
  </si>
  <si>
    <t>包装</t>
  </si>
  <si>
    <t>加工费求和</t>
  </si>
  <si>
    <t>整体求和</t>
  </si>
  <si>
    <t>一次性费用</t>
  </si>
  <si>
    <t>喷涂载具</t>
  </si>
  <si>
    <t>固件烧录治具</t>
  </si>
  <si>
    <r>
      <rPr>
        <sz val="10"/>
        <rFont val="Arial"/>
      </rPr>
      <t>FCT</t>
    </r>
    <r>
      <rPr>
        <sz val="10"/>
        <rFont val="宋体"/>
        <charset val="134"/>
      </rPr>
      <t>治具</t>
    </r>
  </si>
  <si>
    <t>老化测试</t>
  </si>
  <si>
    <t>老化线材</t>
  </si>
  <si>
    <t>建议客户提供上电线材</t>
  </si>
  <si>
    <t>上位机</t>
  </si>
  <si>
    <r>
      <rPr>
        <sz val="10"/>
        <rFont val="Arial"/>
      </rPr>
      <t>SMT</t>
    </r>
    <r>
      <rPr>
        <sz val="10"/>
        <rFont val="宋体"/>
        <charset val="134"/>
      </rPr>
      <t>开机费</t>
    </r>
  </si>
  <si>
    <r>
      <rPr>
        <sz val="10"/>
        <rFont val="宋体"/>
        <charset val="134"/>
      </rPr>
      <t>批量订单＞</t>
    </r>
    <r>
      <rPr>
        <sz val="10"/>
        <rFont val="Arial"/>
      </rPr>
      <t>6000</t>
    </r>
    <r>
      <rPr>
        <sz val="10"/>
        <rFont val="宋体"/>
        <charset val="134"/>
      </rPr>
      <t>不收取</t>
    </r>
  </si>
  <si>
    <t>C3008120</t>
    <phoneticPr fontId="14" type="noConversion"/>
  </si>
  <si>
    <t>C13</t>
    <phoneticPr fontId="14" type="noConversion"/>
  </si>
  <si>
    <t>C14</t>
    <phoneticPr fontId="14" type="noConversion"/>
  </si>
  <si>
    <t>L1,L3</t>
    <phoneticPr fontId="14" type="noConversion"/>
  </si>
  <si>
    <t xml:space="preserve">3pF-0402-50v </t>
    <phoneticPr fontId="14" type="noConversion"/>
  </si>
  <si>
    <t xml:space="preserve">1.8pF-0402-50v </t>
    <phoneticPr fontId="14" type="noConversion"/>
  </si>
  <si>
    <t xml:space="preserve">1.5pF-0402-50v </t>
    <phoneticPr fontId="14" type="noConversion"/>
  </si>
  <si>
    <t xml:space="preserve">2pF-0402-50v </t>
    <phoneticPr fontId="14" type="noConversion"/>
  </si>
  <si>
    <t>C22718</t>
    <phoneticPr fontId="14" type="noConversion"/>
  </si>
  <si>
    <r>
      <t>SE6V3LHN102T 6.3v</t>
    </r>
    <r>
      <rPr>
        <sz val="8"/>
        <rFont val="宋体"/>
        <charset val="134"/>
      </rPr>
      <t>单向</t>
    </r>
    <phoneticPr fontId="14" type="noConversion"/>
  </si>
  <si>
    <t>TS0531VB_vA1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</si>
</sst>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name val="Arial"/>
    </font>
    <font>
      <sz val="10"/>
      <name val="宋体"/>
      <charset val="134"/>
    </font>
    <font>
      <sz val="8"/>
      <name val="宋体"/>
      <charset val="134"/>
    </font>
    <font>
      <sz val="9"/>
      <name val="宋体"/>
      <charset val="134"/>
    </font>
    <font>
      <sz val="8"/>
      <name val="MS Sans Serif"/>
    </font>
    <font>
      <sz val="10"/>
      <name val="Arial"/>
      <family val="2"/>
    </font>
    <font>
      <sz val="9"/>
      <color rgb="FF333333"/>
      <name val="Arial"/>
      <family val="2"/>
    </font>
    <font>
      <sz val="10"/>
      <name val="宋体"/>
      <charset val="134"/>
    </font>
    <font>
      <sz val="9"/>
      <name val="Arial"/>
    </font>
    <font>
      <sz val="9"/>
      <name val="MS Sans Serif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0" fillId="0" borderId="0" xfId="0" applyFont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vertical="center" wrapText="1"/>
    </xf>
    <xf numFmtId="0" fontId="11" fillId="0" borderId="7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" fillId="0" borderId="7" xfId="0" applyFont="1" applyBorder="1"/>
    <xf numFmtId="0" fontId="11" fillId="0" borderId="1" xfId="0" applyFont="1" applyBorder="1" applyAlignment="1">
      <alignment horizontal="left" vertical="center" wrapText="1"/>
    </xf>
    <xf numFmtId="9" fontId="11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3" fillId="0" borderId="8" xfId="0" applyFont="1" applyBorder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horizontal="right" vertical="center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" fillId="0" borderId="7" xfId="0" applyFont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7" fillId="0" borderId="7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2" borderId="1" xfId="0" quotePrefix="1" applyFont="1" applyFill="1" applyBorder="1" applyAlignment="1">
      <alignment horizontal="center" vertical="center"/>
    </xf>
    <xf numFmtId="0" fontId="6" fillId="0" borderId="1" xfId="0" applyFont="1" applyBorder="1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5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workbookViewId="0">
      <selection activeCell="L15" sqref="L15"/>
    </sheetView>
  </sheetViews>
  <sheetFormatPr defaultColWidth="8.88671875" defaultRowHeight="13.2" x14ac:dyDescent="0.25"/>
  <cols>
    <col min="1" max="1" width="5.44140625" customWidth="1"/>
    <col min="2" max="2" width="12.109375" customWidth="1"/>
    <col min="3" max="3" width="22" customWidth="1"/>
    <col min="4" max="4" width="33.6640625" customWidth="1"/>
    <col min="5" max="5" width="30.88671875" customWidth="1"/>
    <col min="6" max="6" width="5.44140625" customWidth="1"/>
    <col min="7" max="7" width="15" style="1" customWidth="1"/>
    <col min="8" max="8" width="10.44140625" customWidth="1"/>
    <col min="9" max="9" width="9.44140625" customWidth="1"/>
    <col min="10" max="10" width="6" customWidth="1"/>
    <col min="11" max="11" width="7.44140625" customWidth="1"/>
    <col min="12" max="12" width="13.109375" customWidth="1"/>
    <col min="13" max="255" width="9.109375"/>
  </cols>
  <sheetData>
    <row r="1" spans="1:12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31" t="s">
        <v>11</v>
      </c>
    </row>
    <row r="2" spans="1:12" x14ac:dyDescent="0.25">
      <c r="A2" s="6">
        <v>1</v>
      </c>
      <c r="B2" s="2" t="s">
        <v>12</v>
      </c>
      <c r="C2" s="7" t="s">
        <v>13</v>
      </c>
      <c r="D2" s="7" t="s">
        <v>14</v>
      </c>
      <c r="E2" s="7" t="s">
        <v>15</v>
      </c>
      <c r="F2" s="8">
        <v>8</v>
      </c>
      <c r="G2" s="9"/>
      <c r="H2" s="10">
        <v>4.4999999999999998E-2</v>
      </c>
      <c r="I2" s="10">
        <f>H2*F2</f>
        <v>0.36</v>
      </c>
      <c r="J2" s="10">
        <v>2</v>
      </c>
      <c r="K2" s="10">
        <f>J2*F2</f>
        <v>16</v>
      </c>
      <c r="L2" s="32" t="s">
        <v>16</v>
      </c>
    </row>
    <row r="3" spans="1:12" x14ac:dyDescent="0.25">
      <c r="A3" s="6">
        <v>2</v>
      </c>
      <c r="B3" s="2" t="s">
        <v>12</v>
      </c>
      <c r="C3" s="7" t="s">
        <v>17</v>
      </c>
      <c r="D3" s="7" t="s">
        <v>18</v>
      </c>
      <c r="E3" s="7" t="s">
        <v>15</v>
      </c>
      <c r="F3" s="7">
        <v>4</v>
      </c>
      <c r="G3" s="9"/>
      <c r="H3" s="10">
        <v>4.8000000000000001E-2</v>
      </c>
      <c r="I3" s="10">
        <f>H3*F3</f>
        <v>0.192</v>
      </c>
      <c r="J3" s="10">
        <v>2</v>
      </c>
      <c r="K3" s="10">
        <f>J3*F3</f>
        <v>8</v>
      </c>
      <c r="L3" s="32" t="s">
        <v>16</v>
      </c>
    </row>
    <row r="4" spans="1:12" x14ac:dyDescent="0.25">
      <c r="A4" s="6">
        <v>3</v>
      </c>
      <c r="B4" s="2" t="s">
        <v>12</v>
      </c>
      <c r="C4" s="7" t="s">
        <v>19</v>
      </c>
      <c r="D4" s="8" t="s">
        <v>20</v>
      </c>
      <c r="E4" s="7" t="s">
        <v>15</v>
      </c>
      <c r="F4" s="8">
        <v>4</v>
      </c>
      <c r="G4" s="9"/>
      <c r="H4" s="10">
        <v>0.15</v>
      </c>
      <c r="I4" s="10">
        <f>H4*F4</f>
        <v>0.6</v>
      </c>
      <c r="J4" s="10">
        <v>2</v>
      </c>
      <c r="K4" s="10">
        <f>J4*F4</f>
        <v>8</v>
      </c>
      <c r="L4" s="32" t="s">
        <v>16</v>
      </c>
    </row>
    <row r="5" spans="1:12" x14ac:dyDescent="0.25">
      <c r="A5" s="6">
        <v>4</v>
      </c>
      <c r="B5" s="2" t="s">
        <v>12</v>
      </c>
      <c r="C5" s="7" t="s">
        <v>21</v>
      </c>
      <c r="D5" s="7" t="s">
        <v>22</v>
      </c>
      <c r="E5" s="7" t="s">
        <v>23</v>
      </c>
      <c r="F5" s="7">
        <v>1</v>
      </c>
      <c r="G5" s="9"/>
      <c r="H5" s="10">
        <v>1.43E-2</v>
      </c>
      <c r="I5" s="10">
        <f>H5*F5</f>
        <v>1.43E-2</v>
      </c>
      <c r="J5" s="10">
        <v>2</v>
      </c>
      <c r="K5" s="10">
        <f>J5*F5</f>
        <v>2</v>
      </c>
      <c r="L5" s="32" t="s">
        <v>16</v>
      </c>
    </row>
    <row r="6" spans="1:12" x14ac:dyDescent="0.25">
      <c r="A6" s="6">
        <v>5</v>
      </c>
      <c r="B6" s="11" t="s">
        <v>12</v>
      </c>
      <c r="C6" s="12" t="s">
        <v>211</v>
      </c>
      <c r="D6" s="8" t="s">
        <v>208</v>
      </c>
      <c r="E6" s="8" t="s">
        <v>25</v>
      </c>
      <c r="F6" s="8">
        <v>1</v>
      </c>
      <c r="G6" s="11"/>
      <c r="H6" s="10">
        <v>0</v>
      </c>
      <c r="I6" s="10">
        <f>H6*F6</f>
        <v>0</v>
      </c>
      <c r="J6" s="10">
        <v>2</v>
      </c>
      <c r="K6" s="10">
        <f>J6*F6</f>
        <v>2</v>
      </c>
      <c r="L6" s="32" t="s">
        <v>16</v>
      </c>
    </row>
    <row r="7" spans="1:12" x14ac:dyDescent="0.25">
      <c r="A7" s="6">
        <v>6</v>
      </c>
      <c r="B7" s="11" t="s">
        <v>12</v>
      </c>
      <c r="C7" s="12" t="s">
        <v>212</v>
      </c>
      <c r="D7" s="8" t="s">
        <v>209</v>
      </c>
      <c r="E7" s="8" t="s">
        <v>25</v>
      </c>
      <c r="F7" s="8">
        <v>1</v>
      </c>
      <c r="G7" s="11"/>
      <c r="H7" s="10"/>
      <c r="I7" s="10"/>
      <c r="J7" s="10"/>
      <c r="K7" s="10"/>
      <c r="L7" s="32"/>
    </row>
    <row r="8" spans="1:12" x14ac:dyDescent="0.25">
      <c r="A8" s="6">
        <v>7</v>
      </c>
      <c r="B8" s="11" t="s">
        <v>12</v>
      </c>
      <c r="C8" s="12" t="s">
        <v>213</v>
      </c>
      <c r="D8" s="12" t="s">
        <v>26</v>
      </c>
      <c r="E8" s="12" t="s">
        <v>23</v>
      </c>
      <c r="F8" s="8">
        <v>1</v>
      </c>
      <c r="G8" s="13"/>
      <c r="H8" s="10"/>
      <c r="I8" s="10"/>
      <c r="J8" s="10"/>
      <c r="K8" s="10"/>
      <c r="L8" s="32"/>
    </row>
    <row r="9" spans="1:12" x14ac:dyDescent="0.25">
      <c r="A9" s="6">
        <v>8</v>
      </c>
      <c r="B9" s="11" t="s">
        <v>12</v>
      </c>
      <c r="C9" s="12" t="s">
        <v>214</v>
      </c>
      <c r="D9" s="12" t="s">
        <v>27</v>
      </c>
      <c r="E9" s="12" t="s">
        <v>23</v>
      </c>
      <c r="F9" s="8">
        <v>1</v>
      </c>
      <c r="G9" s="13"/>
      <c r="H9" s="10"/>
      <c r="I9" s="10"/>
      <c r="J9" s="10"/>
      <c r="K9" s="10"/>
      <c r="L9" s="32"/>
    </row>
    <row r="10" spans="1:12" x14ac:dyDescent="0.25">
      <c r="A10" s="6">
        <v>9</v>
      </c>
      <c r="B10" s="11" t="s">
        <v>12</v>
      </c>
      <c r="C10" s="8" t="s">
        <v>24</v>
      </c>
      <c r="D10" s="8" t="s">
        <v>28</v>
      </c>
      <c r="E10" s="8" t="s">
        <v>29</v>
      </c>
      <c r="F10" s="8">
        <v>2</v>
      </c>
      <c r="G10" s="14" t="s">
        <v>30</v>
      </c>
      <c r="H10" s="10">
        <v>1.43E-2</v>
      </c>
      <c r="I10" s="10">
        <f t="shared" ref="I10:I25" si="0">H10*F10</f>
        <v>2.86E-2</v>
      </c>
      <c r="J10" s="10">
        <v>2</v>
      </c>
      <c r="K10" s="10">
        <f t="shared" ref="K10:K25" si="1">J10*F10</f>
        <v>4</v>
      </c>
      <c r="L10" s="32" t="s">
        <v>16</v>
      </c>
    </row>
    <row r="11" spans="1:12" x14ac:dyDescent="0.25">
      <c r="A11" s="6">
        <v>10</v>
      </c>
      <c r="B11" s="2" t="s">
        <v>12</v>
      </c>
      <c r="C11" s="7" t="s">
        <v>31</v>
      </c>
      <c r="D11" s="7" t="s">
        <v>32</v>
      </c>
      <c r="E11" s="7" t="s">
        <v>33</v>
      </c>
      <c r="F11" s="7">
        <v>2</v>
      </c>
      <c r="G11" s="9"/>
      <c r="H11" s="10">
        <v>0.35</v>
      </c>
      <c r="I11" s="10">
        <f t="shared" si="0"/>
        <v>0.7</v>
      </c>
      <c r="J11" s="10">
        <v>2</v>
      </c>
      <c r="K11" s="10">
        <f t="shared" si="1"/>
        <v>4</v>
      </c>
      <c r="L11" s="32" t="s">
        <v>16</v>
      </c>
    </row>
    <row r="12" spans="1:12" x14ac:dyDescent="0.25">
      <c r="A12" s="6">
        <v>11</v>
      </c>
      <c r="B12" s="2" t="s">
        <v>34</v>
      </c>
      <c r="C12" s="7" t="s">
        <v>35</v>
      </c>
      <c r="D12" s="7" t="s">
        <v>36</v>
      </c>
      <c r="E12" s="7" t="s">
        <v>37</v>
      </c>
      <c r="F12" s="7">
        <v>1</v>
      </c>
      <c r="G12" s="15" t="s">
        <v>38</v>
      </c>
      <c r="H12" s="10">
        <v>0.2</v>
      </c>
      <c r="I12" s="10">
        <f t="shared" si="0"/>
        <v>0.2</v>
      </c>
      <c r="J12" s="10">
        <v>2</v>
      </c>
      <c r="K12" s="10">
        <f t="shared" si="1"/>
        <v>2</v>
      </c>
      <c r="L12" s="31" t="s">
        <v>39</v>
      </c>
    </row>
    <row r="13" spans="1:12" x14ac:dyDescent="0.25">
      <c r="A13" s="6">
        <v>12</v>
      </c>
      <c r="B13" s="2" t="s">
        <v>40</v>
      </c>
      <c r="C13" s="7" t="s">
        <v>41</v>
      </c>
      <c r="D13" s="7" t="s">
        <v>42</v>
      </c>
      <c r="E13" s="7" t="s">
        <v>43</v>
      </c>
      <c r="F13" s="6">
        <v>1</v>
      </c>
      <c r="G13" s="15" t="s">
        <v>44</v>
      </c>
      <c r="H13" s="10">
        <v>7.5899999999999995E-2</v>
      </c>
      <c r="I13" s="10">
        <f t="shared" si="0"/>
        <v>7.5899999999999995E-2</v>
      </c>
      <c r="J13" s="10">
        <v>2</v>
      </c>
      <c r="K13" s="10">
        <f t="shared" si="1"/>
        <v>2</v>
      </c>
      <c r="L13" s="32" t="s">
        <v>45</v>
      </c>
    </row>
    <row r="14" spans="1:12" x14ac:dyDescent="0.25">
      <c r="A14" s="6">
        <v>13</v>
      </c>
      <c r="B14" s="2" t="s">
        <v>40</v>
      </c>
      <c r="C14" s="7" t="s">
        <v>216</v>
      </c>
      <c r="D14" s="7" t="s">
        <v>46</v>
      </c>
      <c r="E14" s="7" t="s">
        <v>47</v>
      </c>
      <c r="F14" s="7">
        <v>1</v>
      </c>
      <c r="G14" s="4"/>
      <c r="H14" s="10">
        <v>7.4999999999999997E-2</v>
      </c>
      <c r="I14" s="10">
        <f t="shared" si="0"/>
        <v>7.4999999999999997E-2</v>
      </c>
      <c r="J14" s="10">
        <v>2</v>
      </c>
      <c r="K14" s="10">
        <f t="shared" si="1"/>
        <v>2</v>
      </c>
      <c r="L14" s="52" t="s">
        <v>217</v>
      </c>
    </row>
    <row r="15" spans="1:12" x14ac:dyDescent="0.25">
      <c r="A15" s="6">
        <v>14</v>
      </c>
      <c r="B15" s="2" t="s">
        <v>40</v>
      </c>
      <c r="C15" s="7" t="s">
        <v>48</v>
      </c>
      <c r="D15" s="7" t="s">
        <v>49</v>
      </c>
      <c r="E15" s="7" t="s">
        <v>50</v>
      </c>
      <c r="F15" s="7">
        <v>1</v>
      </c>
      <c r="G15" s="46" t="s">
        <v>207</v>
      </c>
      <c r="H15" s="10">
        <v>5.7000000000000002E-2</v>
      </c>
      <c r="I15" s="10">
        <f t="shared" si="0"/>
        <v>5.7000000000000002E-2</v>
      </c>
      <c r="J15" s="10">
        <v>2</v>
      </c>
      <c r="K15" s="10">
        <f t="shared" si="1"/>
        <v>2</v>
      </c>
    </row>
    <row r="16" spans="1:12" x14ac:dyDescent="0.25">
      <c r="A16" s="6">
        <v>15</v>
      </c>
      <c r="B16" s="2" t="s">
        <v>40</v>
      </c>
      <c r="C16" s="7" t="s">
        <v>51</v>
      </c>
      <c r="D16" s="7" t="s">
        <v>52</v>
      </c>
      <c r="E16" s="7" t="s">
        <v>53</v>
      </c>
      <c r="F16" s="7">
        <v>1</v>
      </c>
      <c r="G16" s="9"/>
      <c r="H16" s="10">
        <v>5.7700000000000001E-2</v>
      </c>
      <c r="I16" s="10">
        <f t="shared" si="0"/>
        <v>5.7700000000000001E-2</v>
      </c>
      <c r="J16" s="10">
        <v>2</v>
      </c>
      <c r="K16" s="10">
        <f t="shared" si="1"/>
        <v>2</v>
      </c>
    </row>
    <row r="17" spans="1:12" x14ac:dyDescent="0.25">
      <c r="A17" s="6">
        <v>16</v>
      </c>
      <c r="B17" s="2" t="s">
        <v>40</v>
      </c>
      <c r="C17" s="7" t="s">
        <v>54</v>
      </c>
      <c r="D17" s="7" t="s">
        <v>55</v>
      </c>
      <c r="E17" s="7" t="s">
        <v>56</v>
      </c>
      <c r="F17" s="7">
        <v>1</v>
      </c>
      <c r="G17" s="9"/>
      <c r="H17" s="10">
        <v>0.15</v>
      </c>
      <c r="I17" s="10">
        <f t="shared" si="0"/>
        <v>0.15</v>
      </c>
      <c r="J17" s="10">
        <v>2</v>
      </c>
      <c r="K17" s="10">
        <f t="shared" si="1"/>
        <v>2</v>
      </c>
    </row>
    <row r="18" spans="1:12" x14ac:dyDescent="0.25">
      <c r="A18" s="6">
        <v>17</v>
      </c>
      <c r="B18" s="2" t="s">
        <v>57</v>
      </c>
      <c r="C18" s="7" t="s">
        <v>58</v>
      </c>
      <c r="D18" s="7" t="s">
        <v>59</v>
      </c>
      <c r="E18" s="7" t="s">
        <v>60</v>
      </c>
      <c r="F18" s="7">
        <v>1</v>
      </c>
      <c r="G18" s="15" t="s">
        <v>61</v>
      </c>
      <c r="H18" s="10">
        <v>0.15</v>
      </c>
      <c r="I18" s="10">
        <f t="shared" si="0"/>
        <v>0.15</v>
      </c>
      <c r="J18" s="10">
        <v>2</v>
      </c>
      <c r="K18" s="10">
        <f t="shared" si="1"/>
        <v>2</v>
      </c>
      <c r="L18" s="32" t="s">
        <v>62</v>
      </c>
    </row>
    <row r="19" spans="1:12" x14ac:dyDescent="0.25">
      <c r="A19" s="6">
        <v>18</v>
      </c>
      <c r="B19" s="6" t="s">
        <v>63</v>
      </c>
      <c r="C19" s="3" t="s">
        <v>64</v>
      </c>
      <c r="D19" s="7" t="s">
        <v>65</v>
      </c>
      <c r="E19" s="7" t="s">
        <v>66</v>
      </c>
      <c r="F19" s="7">
        <v>1</v>
      </c>
      <c r="G19" s="15" t="s">
        <v>67</v>
      </c>
      <c r="H19" s="10">
        <v>0.2</v>
      </c>
      <c r="I19" s="10">
        <f t="shared" si="0"/>
        <v>0.2</v>
      </c>
      <c r="J19" s="10">
        <v>4</v>
      </c>
      <c r="K19" s="10">
        <f t="shared" si="1"/>
        <v>4</v>
      </c>
    </row>
    <row r="20" spans="1:12" ht="20.399999999999999" x14ac:dyDescent="0.25">
      <c r="A20" s="6">
        <v>19</v>
      </c>
      <c r="B20" s="2" t="s">
        <v>68</v>
      </c>
      <c r="C20" s="16" t="s">
        <v>69</v>
      </c>
      <c r="D20" s="7" t="s">
        <v>70</v>
      </c>
      <c r="E20" s="7" t="s">
        <v>71</v>
      </c>
      <c r="F20" s="7">
        <v>1</v>
      </c>
      <c r="G20" s="15" t="s">
        <v>72</v>
      </c>
      <c r="H20" s="10">
        <v>0.123</v>
      </c>
      <c r="I20" s="10">
        <f t="shared" si="0"/>
        <v>0.123</v>
      </c>
      <c r="J20" s="10">
        <v>4</v>
      </c>
      <c r="K20" s="10">
        <f t="shared" si="1"/>
        <v>4</v>
      </c>
    </row>
    <row r="21" spans="1:12" x14ac:dyDescent="0.25">
      <c r="A21" s="6">
        <v>20</v>
      </c>
      <c r="B21" s="6" t="s">
        <v>73</v>
      </c>
      <c r="C21" s="7" t="s">
        <v>74</v>
      </c>
      <c r="D21" s="7" t="s">
        <v>75</v>
      </c>
      <c r="E21" s="7" t="s">
        <v>76</v>
      </c>
      <c r="F21" s="7">
        <v>2</v>
      </c>
      <c r="G21" s="9"/>
      <c r="H21" s="10">
        <v>3.7999999999999999E-2</v>
      </c>
      <c r="I21" s="10">
        <f t="shared" si="0"/>
        <v>7.5999999999999998E-2</v>
      </c>
      <c r="J21" s="10">
        <v>3</v>
      </c>
      <c r="K21" s="10">
        <f t="shared" si="1"/>
        <v>6</v>
      </c>
    </row>
    <row r="22" spans="1:12" x14ac:dyDescent="0.25">
      <c r="A22" s="6">
        <v>21</v>
      </c>
      <c r="B22" s="6" t="s">
        <v>73</v>
      </c>
      <c r="C22" s="7" t="s">
        <v>77</v>
      </c>
      <c r="D22" s="7" t="s">
        <v>78</v>
      </c>
      <c r="E22" s="7" t="s">
        <v>76</v>
      </c>
      <c r="F22" s="7">
        <v>1</v>
      </c>
      <c r="G22" s="9"/>
      <c r="H22" s="10">
        <v>0.10299999999999999</v>
      </c>
      <c r="I22" s="10">
        <f t="shared" si="0"/>
        <v>0.10299999999999999</v>
      </c>
      <c r="J22" s="10">
        <v>3</v>
      </c>
      <c r="K22" s="10">
        <f t="shared" si="1"/>
        <v>3</v>
      </c>
    </row>
    <row r="23" spans="1:12" x14ac:dyDescent="0.25">
      <c r="A23" s="6">
        <v>22</v>
      </c>
      <c r="B23" s="7" t="s">
        <v>79</v>
      </c>
      <c r="C23" s="7" t="s">
        <v>80</v>
      </c>
      <c r="D23" s="7" t="s">
        <v>81</v>
      </c>
      <c r="E23" s="7" t="s">
        <v>82</v>
      </c>
      <c r="F23" s="7">
        <v>2</v>
      </c>
      <c r="G23" s="9"/>
      <c r="H23" s="10">
        <v>3.7999999999999999E-2</v>
      </c>
      <c r="I23" s="10">
        <f t="shared" si="0"/>
        <v>7.5999999999999998E-2</v>
      </c>
      <c r="J23" s="10">
        <v>3</v>
      </c>
      <c r="K23" s="10">
        <f t="shared" si="1"/>
        <v>6</v>
      </c>
    </row>
    <row r="24" spans="1:12" x14ac:dyDescent="0.25">
      <c r="A24" s="6">
        <v>23</v>
      </c>
      <c r="B24" s="6" t="s">
        <v>83</v>
      </c>
      <c r="C24" s="7" t="s">
        <v>84</v>
      </c>
      <c r="D24" s="7" t="s">
        <v>85</v>
      </c>
      <c r="E24" s="7" t="s">
        <v>76</v>
      </c>
      <c r="F24" s="7">
        <v>1</v>
      </c>
      <c r="G24" s="9"/>
      <c r="H24" s="10">
        <v>4.6330000000000003E-2</v>
      </c>
      <c r="I24" s="10">
        <f t="shared" si="0"/>
        <v>4.6330000000000003E-2</v>
      </c>
      <c r="J24" s="10">
        <v>3</v>
      </c>
      <c r="K24" s="10">
        <f t="shared" si="1"/>
        <v>3</v>
      </c>
    </row>
    <row r="25" spans="1:12" x14ac:dyDescent="0.25">
      <c r="A25" s="6">
        <v>24</v>
      </c>
      <c r="B25" s="6" t="s">
        <v>83</v>
      </c>
      <c r="C25" s="7" t="s">
        <v>86</v>
      </c>
      <c r="D25" s="7" t="s">
        <v>87</v>
      </c>
      <c r="E25" s="7" t="s">
        <v>76</v>
      </c>
      <c r="F25" s="7">
        <v>1</v>
      </c>
      <c r="G25" s="9"/>
      <c r="H25" s="10">
        <v>0.05</v>
      </c>
      <c r="I25" s="10">
        <f t="shared" si="0"/>
        <v>0.05</v>
      </c>
      <c r="J25" s="10">
        <v>3</v>
      </c>
      <c r="K25" s="10">
        <f t="shared" si="1"/>
        <v>3</v>
      </c>
      <c r="L25" s="32" t="s">
        <v>88</v>
      </c>
    </row>
    <row r="26" spans="1:12" x14ac:dyDescent="0.25">
      <c r="A26" s="6">
        <v>25</v>
      </c>
      <c r="B26" s="11" t="s">
        <v>91</v>
      </c>
      <c r="C26" s="17" t="s">
        <v>92</v>
      </c>
      <c r="D26" s="8" t="s">
        <v>93</v>
      </c>
      <c r="E26" s="45" t="s">
        <v>94</v>
      </c>
      <c r="F26" s="8">
        <v>1</v>
      </c>
      <c r="G26" s="13" t="s">
        <v>215</v>
      </c>
      <c r="H26" s="10"/>
      <c r="I26" s="10"/>
      <c r="J26" s="10"/>
      <c r="K26" s="10"/>
      <c r="L26" s="33"/>
    </row>
    <row r="27" spans="1:12" x14ac:dyDescent="0.25">
      <c r="A27" s="6">
        <v>26</v>
      </c>
      <c r="B27" s="11" t="s">
        <v>91</v>
      </c>
      <c r="C27" s="12" t="s">
        <v>95</v>
      </c>
      <c r="D27" s="8" t="s">
        <v>210</v>
      </c>
      <c r="E27" s="45" t="s">
        <v>94</v>
      </c>
      <c r="F27" s="8">
        <v>2</v>
      </c>
      <c r="G27" s="13" t="s">
        <v>96</v>
      </c>
      <c r="H27" s="10"/>
      <c r="I27" s="10"/>
      <c r="J27" s="10"/>
      <c r="K27" s="10"/>
      <c r="L27" s="33"/>
    </row>
    <row r="28" spans="1:12" x14ac:dyDescent="0.25">
      <c r="A28" s="6">
        <v>27</v>
      </c>
      <c r="B28" s="2" t="s">
        <v>89</v>
      </c>
      <c r="C28" s="7" t="s">
        <v>97</v>
      </c>
      <c r="D28" s="7" t="s">
        <v>98</v>
      </c>
      <c r="E28" s="7" t="s">
        <v>99</v>
      </c>
      <c r="F28" s="7">
        <v>1</v>
      </c>
      <c r="G28" s="9"/>
      <c r="H28" s="10">
        <v>3.0000000000000001E-3</v>
      </c>
      <c r="I28" s="10">
        <f t="shared" ref="I28:I53" si="2">H28*F28</f>
        <v>3.0000000000000001E-3</v>
      </c>
      <c r="J28" s="10">
        <v>2</v>
      </c>
      <c r="K28" s="10">
        <f t="shared" ref="K28:K49" si="3">J28*F28</f>
        <v>2</v>
      </c>
      <c r="L28" s="33" t="s">
        <v>90</v>
      </c>
    </row>
    <row r="29" spans="1:12" x14ac:dyDescent="0.25">
      <c r="A29" s="6">
        <v>28</v>
      </c>
      <c r="B29" s="2" t="s">
        <v>89</v>
      </c>
      <c r="C29" s="7" t="s">
        <v>100</v>
      </c>
      <c r="D29" s="7" t="s">
        <v>101</v>
      </c>
      <c r="E29" s="7" t="s">
        <v>99</v>
      </c>
      <c r="F29" s="7">
        <v>1</v>
      </c>
      <c r="G29" s="9"/>
      <c r="H29" s="10">
        <v>3.0000000000000001E-3</v>
      </c>
      <c r="I29" s="10">
        <f t="shared" si="2"/>
        <v>3.0000000000000001E-3</v>
      </c>
      <c r="J29" s="10">
        <v>2</v>
      </c>
      <c r="K29" s="10">
        <f t="shared" si="3"/>
        <v>2</v>
      </c>
      <c r="L29" s="33" t="s">
        <v>90</v>
      </c>
    </row>
    <row r="30" spans="1:12" x14ac:dyDescent="0.25">
      <c r="A30" s="6">
        <v>29</v>
      </c>
      <c r="B30" s="2" t="s">
        <v>89</v>
      </c>
      <c r="C30" s="7" t="s">
        <v>102</v>
      </c>
      <c r="D30" s="7" t="s">
        <v>103</v>
      </c>
      <c r="E30" s="7" t="s">
        <v>99</v>
      </c>
      <c r="F30" s="7">
        <v>10</v>
      </c>
      <c r="G30" s="9"/>
      <c r="H30" s="10">
        <v>3.0000000000000001E-3</v>
      </c>
      <c r="I30" s="10">
        <f t="shared" si="2"/>
        <v>0.03</v>
      </c>
      <c r="J30" s="10">
        <v>2</v>
      </c>
      <c r="K30" s="10">
        <f t="shared" si="3"/>
        <v>20</v>
      </c>
      <c r="L30" s="33" t="s">
        <v>90</v>
      </c>
    </row>
    <row r="31" spans="1:12" x14ac:dyDescent="0.25">
      <c r="A31" s="6">
        <v>30</v>
      </c>
      <c r="B31" s="2" t="s">
        <v>89</v>
      </c>
      <c r="C31" s="7" t="s">
        <v>104</v>
      </c>
      <c r="D31" s="7" t="s">
        <v>105</v>
      </c>
      <c r="E31" s="7" t="s">
        <v>99</v>
      </c>
      <c r="F31" s="7">
        <v>1</v>
      </c>
      <c r="G31" s="9"/>
      <c r="H31" s="10">
        <v>3.0000000000000001E-3</v>
      </c>
      <c r="I31" s="10">
        <f t="shared" si="2"/>
        <v>3.0000000000000001E-3</v>
      </c>
      <c r="J31" s="10">
        <v>2</v>
      </c>
      <c r="K31" s="10">
        <f t="shared" si="3"/>
        <v>2</v>
      </c>
      <c r="L31" s="33" t="s">
        <v>90</v>
      </c>
    </row>
    <row r="32" spans="1:12" x14ac:dyDescent="0.25">
      <c r="A32" s="6">
        <v>31</v>
      </c>
      <c r="B32" s="2" t="s">
        <v>89</v>
      </c>
      <c r="C32" s="18" t="s">
        <v>106</v>
      </c>
      <c r="D32" s="18" t="s">
        <v>107</v>
      </c>
      <c r="E32" s="18" t="s">
        <v>108</v>
      </c>
      <c r="F32" s="18">
        <v>1</v>
      </c>
      <c r="G32" s="15" t="s">
        <v>109</v>
      </c>
      <c r="H32" s="10">
        <v>1.6799999999999999E-2</v>
      </c>
      <c r="I32" s="10">
        <f t="shared" si="2"/>
        <v>1.6799999999999999E-2</v>
      </c>
      <c r="J32" s="10">
        <v>2</v>
      </c>
      <c r="K32" s="10">
        <f t="shared" si="3"/>
        <v>2</v>
      </c>
      <c r="L32" s="33" t="s">
        <v>90</v>
      </c>
    </row>
    <row r="33" spans="1:12" x14ac:dyDescent="0.25">
      <c r="A33" s="6">
        <v>32</v>
      </c>
      <c r="B33" s="2" t="s">
        <v>89</v>
      </c>
      <c r="C33" s="7" t="s">
        <v>110</v>
      </c>
      <c r="D33" s="7" t="s">
        <v>111</v>
      </c>
      <c r="E33" s="7" t="s">
        <v>99</v>
      </c>
      <c r="F33" s="7">
        <v>2</v>
      </c>
      <c r="G33" s="9"/>
      <c r="H33" s="10">
        <v>3.0000000000000001E-3</v>
      </c>
      <c r="I33" s="10">
        <f t="shared" si="2"/>
        <v>6.0000000000000001E-3</v>
      </c>
      <c r="J33" s="10">
        <v>2</v>
      </c>
      <c r="K33" s="10">
        <f t="shared" si="3"/>
        <v>4</v>
      </c>
      <c r="L33" s="33" t="s">
        <v>90</v>
      </c>
    </row>
    <row r="34" spans="1:12" x14ac:dyDescent="0.25">
      <c r="A34" s="6">
        <v>33</v>
      </c>
      <c r="B34" s="2" t="s">
        <v>89</v>
      </c>
      <c r="C34" s="7" t="s">
        <v>112</v>
      </c>
      <c r="D34" s="7" t="s">
        <v>113</v>
      </c>
      <c r="E34" s="7" t="s">
        <v>99</v>
      </c>
      <c r="F34" s="7">
        <v>3</v>
      </c>
      <c r="G34" s="9"/>
      <c r="H34" s="10">
        <v>3.0000000000000001E-3</v>
      </c>
      <c r="I34" s="10">
        <f t="shared" si="2"/>
        <v>9.0000000000000011E-3</v>
      </c>
      <c r="J34" s="10">
        <v>2</v>
      </c>
      <c r="K34" s="10">
        <f t="shared" si="3"/>
        <v>6</v>
      </c>
      <c r="L34" s="33" t="s">
        <v>90</v>
      </c>
    </row>
    <row r="35" spans="1:12" x14ac:dyDescent="0.25">
      <c r="A35" s="6">
        <v>34</v>
      </c>
      <c r="B35" s="2" t="s">
        <v>89</v>
      </c>
      <c r="C35" s="7" t="s">
        <v>114</v>
      </c>
      <c r="D35" s="7" t="s">
        <v>115</v>
      </c>
      <c r="E35" s="7" t="s">
        <v>99</v>
      </c>
      <c r="F35" s="7">
        <v>9</v>
      </c>
      <c r="G35" s="9"/>
      <c r="H35" s="10">
        <v>3.0000000000000001E-3</v>
      </c>
      <c r="I35" s="10">
        <f t="shared" si="2"/>
        <v>2.7E-2</v>
      </c>
      <c r="J35" s="10">
        <v>2</v>
      </c>
      <c r="K35" s="10">
        <f t="shared" si="3"/>
        <v>18</v>
      </c>
      <c r="L35" s="33" t="s">
        <v>90</v>
      </c>
    </row>
    <row r="36" spans="1:12" x14ac:dyDescent="0.25">
      <c r="A36" s="6">
        <v>35</v>
      </c>
      <c r="B36" s="2" t="s">
        <v>89</v>
      </c>
      <c r="C36" s="7" t="s">
        <v>116</v>
      </c>
      <c r="D36" s="7" t="s">
        <v>117</v>
      </c>
      <c r="E36" s="7" t="s">
        <v>99</v>
      </c>
      <c r="F36" s="7">
        <v>2</v>
      </c>
      <c r="G36" s="9"/>
      <c r="H36" s="10">
        <v>3.0000000000000001E-3</v>
      </c>
      <c r="I36" s="10">
        <f t="shared" si="2"/>
        <v>6.0000000000000001E-3</v>
      </c>
      <c r="J36" s="10">
        <v>2</v>
      </c>
      <c r="K36" s="10">
        <f t="shared" si="3"/>
        <v>4</v>
      </c>
      <c r="L36" s="33" t="s">
        <v>90</v>
      </c>
    </row>
    <row r="37" spans="1:12" x14ac:dyDescent="0.25">
      <c r="A37" s="6">
        <v>36</v>
      </c>
      <c r="B37" s="2" t="s">
        <v>89</v>
      </c>
      <c r="C37" s="7" t="s">
        <v>118</v>
      </c>
      <c r="D37" s="7" t="s">
        <v>119</v>
      </c>
      <c r="E37" s="7" t="s">
        <v>99</v>
      </c>
      <c r="F37" s="7">
        <v>1</v>
      </c>
      <c r="G37" s="9"/>
      <c r="H37" s="10">
        <v>3.0000000000000001E-3</v>
      </c>
      <c r="I37" s="10">
        <f t="shared" si="2"/>
        <v>3.0000000000000001E-3</v>
      </c>
      <c r="J37" s="10">
        <v>2</v>
      </c>
      <c r="K37" s="10">
        <f t="shared" si="3"/>
        <v>2</v>
      </c>
      <c r="L37" s="33" t="s">
        <v>90</v>
      </c>
    </row>
    <row r="38" spans="1:12" x14ac:dyDescent="0.25">
      <c r="A38" s="6">
        <v>37</v>
      </c>
      <c r="B38" s="2" t="s">
        <v>89</v>
      </c>
      <c r="C38" s="7" t="s">
        <v>120</v>
      </c>
      <c r="D38" s="7" t="s">
        <v>121</v>
      </c>
      <c r="E38" s="7" t="s">
        <v>99</v>
      </c>
      <c r="F38" s="7">
        <v>9</v>
      </c>
      <c r="G38" s="9"/>
      <c r="H38" s="10">
        <v>3.0000000000000001E-3</v>
      </c>
      <c r="I38" s="10">
        <f t="shared" si="2"/>
        <v>2.7E-2</v>
      </c>
      <c r="J38" s="10">
        <v>2</v>
      </c>
      <c r="K38" s="10">
        <f t="shared" si="3"/>
        <v>18</v>
      </c>
      <c r="L38" s="33" t="s">
        <v>90</v>
      </c>
    </row>
    <row r="39" spans="1:12" x14ac:dyDescent="0.25">
      <c r="A39" s="6">
        <v>38</v>
      </c>
      <c r="B39" s="2" t="s">
        <v>122</v>
      </c>
      <c r="C39" s="7" t="s">
        <v>123</v>
      </c>
      <c r="D39" s="7" t="s">
        <v>124</v>
      </c>
      <c r="E39" s="7" t="s">
        <v>125</v>
      </c>
      <c r="F39" s="7">
        <v>1</v>
      </c>
      <c r="G39" s="9" t="s">
        <v>126</v>
      </c>
      <c r="H39" s="10">
        <v>0.2</v>
      </c>
      <c r="I39" s="10">
        <f t="shared" si="2"/>
        <v>0.2</v>
      </c>
      <c r="J39" s="10">
        <v>4</v>
      </c>
      <c r="K39" s="10">
        <f t="shared" si="3"/>
        <v>4</v>
      </c>
      <c r="L39" s="32" t="s">
        <v>127</v>
      </c>
    </row>
    <row r="40" spans="1:12" x14ac:dyDescent="0.25">
      <c r="A40" s="6">
        <v>39</v>
      </c>
      <c r="B40" s="2" t="s">
        <v>128</v>
      </c>
      <c r="C40" s="7" t="s">
        <v>129</v>
      </c>
      <c r="D40" s="7" t="s">
        <v>130</v>
      </c>
      <c r="E40" s="7" t="s">
        <v>131</v>
      </c>
      <c r="F40" s="7">
        <v>1</v>
      </c>
      <c r="G40" s="15" t="s">
        <v>132</v>
      </c>
      <c r="H40" s="10">
        <v>0.55000000000000004</v>
      </c>
      <c r="I40" s="10">
        <f t="shared" si="2"/>
        <v>0.55000000000000004</v>
      </c>
      <c r="J40" s="10">
        <v>9</v>
      </c>
      <c r="K40" s="10">
        <f t="shared" si="3"/>
        <v>9</v>
      </c>
      <c r="L40" t="s">
        <v>133</v>
      </c>
    </row>
    <row r="41" spans="1:12" x14ac:dyDescent="0.25">
      <c r="A41" s="6">
        <v>40</v>
      </c>
      <c r="B41" s="6" t="s">
        <v>134</v>
      </c>
      <c r="C41" s="7" t="s">
        <v>135</v>
      </c>
      <c r="D41" s="7" t="s">
        <v>136</v>
      </c>
      <c r="E41" s="7" t="s">
        <v>137</v>
      </c>
      <c r="F41" s="7">
        <v>1</v>
      </c>
      <c r="G41" s="15" t="s">
        <v>138</v>
      </c>
      <c r="H41" s="10">
        <v>0.28000000000000003</v>
      </c>
      <c r="I41" s="10">
        <f t="shared" si="2"/>
        <v>0.28000000000000003</v>
      </c>
      <c r="J41" s="10">
        <v>5</v>
      </c>
      <c r="K41" s="10">
        <f t="shared" si="3"/>
        <v>5</v>
      </c>
      <c r="L41" t="s">
        <v>139</v>
      </c>
    </row>
    <row r="42" spans="1:12" x14ac:dyDescent="0.25">
      <c r="A42" s="6">
        <v>41</v>
      </c>
      <c r="B42" s="2" t="s">
        <v>140</v>
      </c>
      <c r="C42" s="7" t="s">
        <v>141</v>
      </c>
      <c r="D42" s="7" t="s">
        <v>142</v>
      </c>
      <c r="E42" s="7" t="s">
        <v>143</v>
      </c>
      <c r="F42" s="7">
        <v>1</v>
      </c>
      <c r="G42" s="9"/>
      <c r="H42" s="10">
        <v>0</v>
      </c>
      <c r="I42" s="10">
        <f t="shared" si="2"/>
        <v>0</v>
      </c>
      <c r="J42" s="10">
        <v>40</v>
      </c>
      <c r="K42" s="10">
        <f t="shared" si="3"/>
        <v>40</v>
      </c>
      <c r="L42" s="34" t="s">
        <v>144</v>
      </c>
    </row>
    <row r="43" spans="1:12" x14ac:dyDescent="0.25">
      <c r="A43" s="6">
        <v>42</v>
      </c>
      <c r="B43" s="2" t="s">
        <v>145</v>
      </c>
      <c r="C43" s="7" t="s">
        <v>146</v>
      </c>
      <c r="D43" s="7" t="s">
        <v>147</v>
      </c>
      <c r="E43" s="7" t="s">
        <v>148</v>
      </c>
      <c r="F43" s="7">
        <v>2</v>
      </c>
      <c r="G43" s="15" t="s">
        <v>149</v>
      </c>
      <c r="H43" s="10">
        <v>0.32</v>
      </c>
      <c r="I43" s="10">
        <f t="shared" si="2"/>
        <v>0.64</v>
      </c>
      <c r="J43" s="10">
        <v>10</v>
      </c>
      <c r="K43" s="10">
        <f t="shared" si="3"/>
        <v>20</v>
      </c>
    </row>
    <row r="44" spans="1:12" x14ac:dyDescent="0.25">
      <c r="A44" s="6">
        <v>43</v>
      </c>
      <c r="B44" s="2" t="s">
        <v>150</v>
      </c>
      <c r="C44" s="7" t="s">
        <v>151</v>
      </c>
      <c r="D44" s="7" t="s">
        <v>152</v>
      </c>
      <c r="E44" s="7" t="s">
        <v>76</v>
      </c>
      <c r="F44" s="7">
        <v>1</v>
      </c>
      <c r="G44" s="15" t="s">
        <v>153</v>
      </c>
      <c r="H44" s="10">
        <v>0.23</v>
      </c>
      <c r="I44" s="10">
        <f t="shared" si="2"/>
        <v>0.23</v>
      </c>
      <c r="J44" s="10">
        <v>3</v>
      </c>
      <c r="K44" s="10">
        <f t="shared" si="3"/>
        <v>3</v>
      </c>
    </row>
    <row r="45" spans="1:12" x14ac:dyDescent="0.25">
      <c r="A45" s="6">
        <v>44</v>
      </c>
      <c r="B45" s="6" t="s">
        <v>154</v>
      </c>
      <c r="C45" s="7" t="s">
        <v>155</v>
      </c>
      <c r="D45" s="7" t="s">
        <v>156</v>
      </c>
      <c r="E45" s="7" t="s">
        <v>157</v>
      </c>
      <c r="F45" s="7">
        <v>1</v>
      </c>
      <c r="G45" s="15" t="s">
        <v>158</v>
      </c>
      <c r="H45" s="10">
        <v>0.2</v>
      </c>
      <c r="I45" s="10">
        <f t="shared" si="2"/>
        <v>0.2</v>
      </c>
      <c r="J45" s="10">
        <v>6</v>
      </c>
      <c r="K45" s="10">
        <f t="shared" si="3"/>
        <v>6</v>
      </c>
    </row>
    <row r="46" spans="1:12" x14ac:dyDescent="0.25">
      <c r="A46" s="6">
        <v>45</v>
      </c>
      <c r="B46" s="2" t="s">
        <v>159</v>
      </c>
      <c r="C46" s="19" t="s">
        <v>160</v>
      </c>
      <c r="D46" s="7" t="s">
        <v>161</v>
      </c>
      <c r="E46" s="7" t="s">
        <v>162</v>
      </c>
      <c r="F46" s="7">
        <v>1</v>
      </c>
      <c r="G46" s="15" t="s">
        <v>163</v>
      </c>
      <c r="H46" s="10">
        <v>0.23</v>
      </c>
      <c r="I46" s="10">
        <f t="shared" si="2"/>
        <v>0.23</v>
      </c>
      <c r="J46" s="10">
        <v>4</v>
      </c>
      <c r="K46" s="10">
        <f t="shared" si="3"/>
        <v>4</v>
      </c>
      <c r="L46" s="32" t="s">
        <v>164</v>
      </c>
    </row>
    <row r="47" spans="1:12" x14ac:dyDescent="0.25">
      <c r="A47" s="6">
        <v>46</v>
      </c>
      <c r="B47" s="6" t="s">
        <v>165</v>
      </c>
      <c r="C47" s="7" t="s">
        <v>166</v>
      </c>
      <c r="D47" s="7" t="s">
        <v>167</v>
      </c>
      <c r="E47" s="7" t="s">
        <v>168</v>
      </c>
      <c r="F47" s="7">
        <v>1</v>
      </c>
      <c r="G47" s="15" t="s">
        <v>169</v>
      </c>
      <c r="H47" s="10">
        <v>0.1</v>
      </c>
      <c r="I47" s="10">
        <f t="shared" si="2"/>
        <v>0.1</v>
      </c>
      <c r="J47" s="10">
        <v>4</v>
      </c>
      <c r="K47" s="10">
        <f t="shared" si="3"/>
        <v>4</v>
      </c>
      <c r="L47" s="32" t="s">
        <v>170</v>
      </c>
    </row>
    <row r="48" spans="1:12" x14ac:dyDescent="0.25">
      <c r="A48" s="6">
        <v>47</v>
      </c>
      <c r="B48" s="6" t="s">
        <v>171</v>
      </c>
      <c r="C48" s="7" t="s">
        <v>172</v>
      </c>
      <c r="D48" s="7" t="s">
        <v>173</v>
      </c>
      <c r="E48" s="7" t="s">
        <v>174</v>
      </c>
      <c r="F48" s="7">
        <v>1</v>
      </c>
      <c r="G48" s="15" t="s">
        <v>175</v>
      </c>
      <c r="H48" s="10">
        <v>0.15</v>
      </c>
      <c r="I48" s="10">
        <f t="shared" si="2"/>
        <v>0.15</v>
      </c>
      <c r="J48" s="10">
        <v>6</v>
      </c>
      <c r="K48" s="10">
        <f t="shared" si="3"/>
        <v>6</v>
      </c>
      <c r="L48" s="32" t="s">
        <v>176</v>
      </c>
    </row>
    <row r="49" spans="1:12" x14ac:dyDescent="0.25">
      <c r="A49" s="6">
        <v>48</v>
      </c>
      <c r="B49" s="6" t="s">
        <v>177</v>
      </c>
      <c r="C49" s="7" t="s">
        <v>178</v>
      </c>
      <c r="D49" s="7" t="s">
        <v>179</v>
      </c>
      <c r="E49" s="7" t="s">
        <v>180</v>
      </c>
      <c r="F49" s="7">
        <v>2</v>
      </c>
      <c r="G49" s="15" t="s">
        <v>181</v>
      </c>
      <c r="H49" s="10">
        <v>0.16</v>
      </c>
      <c r="I49" s="10">
        <f t="shared" si="2"/>
        <v>0.32</v>
      </c>
      <c r="J49" s="10">
        <v>7</v>
      </c>
      <c r="K49" s="10">
        <f t="shared" si="3"/>
        <v>14</v>
      </c>
      <c r="L49" s="32" t="s">
        <v>182</v>
      </c>
    </row>
    <row r="50" spans="1:12" x14ac:dyDescent="0.25">
      <c r="A50" s="6">
        <v>49</v>
      </c>
      <c r="B50" s="6" t="s">
        <v>183</v>
      </c>
      <c r="C50" s="10"/>
      <c r="D50" s="10"/>
      <c r="E50" s="20" t="s">
        <v>184</v>
      </c>
      <c r="F50" s="7">
        <v>1</v>
      </c>
      <c r="G50" s="9"/>
      <c r="H50" s="10">
        <v>2.7</v>
      </c>
      <c r="I50" s="10">
        <f t="shared" si="2"/>
        <v>2.7</v>
      </c>
      <c r="J50" s="10"/>
      <c r="K50" s="10"/>
    </row>
    <row r="51" spans="1:12" x14ac:dyDescent="0.25">
      <c r="A51" s="21"/>
      <c r="B51" s="6" t="s">
        <v>185</v>
      </c>
      <c r="C51" s="10"/>
      <c r="D51" s="10"/>
      <c r="E51" s="20"/>
      <c r="F51" s="7">
        <v>1</v>
      </c>
      <c r="G51" s="9"/>
      <c r="H51" s="10">
        <v>1.35</v>
      </c>
      <c r="I51" s="10">
        <f t="shared" si="2"/>
        <v>1.35</v>
      </c>
      <c r="J51" s="10"/>
      <c r="K51" s="10"/>
    </row>
    <row r="52" spans="1:12" x14ac:dyDescent="0.25">
      <c r="A52" s="21"/>
      <c r="B52" s="6" t="s">
        <v>186</v>
      </c>
      <c r="C52" s="10"/>
      <c r="D52" s="10"/>
      <c r="E52" s="20"/>
      <c r="F52" s="7">
        <v>0.5</v>
      </c>
      <c r="G52" s="9"/>
      <c r="H52" s="10">
        <f>550/1000</f>
        <v>0.55000000000000004</v>
      </c>
      <c r="I52" s="10">
        <f t="shared" si="2"/>
        <v>0.27500000000000002</v>
      </c>
      <c r="J52" s="10"/>
      <c r="K52" s="10"/>
    </row>
    <row r="53" spans="1:12" x14ac:dyDescent="0.25">
      <c r="B53" s="22" t="s">
        <v>187</v>
      </c>
      <c r="C53" s="10"/>
      <c r="D53" s="10"/>
      <c r="E53" s="10"/>
      <c r="F53" s="7">
        <v>1</v>
      </c>
      <c r="G53" s="9"/>
      <c r="H53" s="10">
        <v>0.4</v>
      </c>
      <c r="I53" s="10">
        <f t="shared" si="2"/>
        <v>0.4</v>
      </c>
      <c r="J53" s="10"/>
      <c r="K53" s="10"/>
    </row>
    <row r="54" spans="1:12" x14ac:dyDescent="0.25">
      <c r="G54" s="23" t="s">
        <v>188</v>
      </c>
      <c r="I54" s="35">
        <f>SUM(I2:I53)</f>
        <v>11.093630000000003</v>
      </c>
      <c r="K54" s="35">
        <f>SUM(K2:K53)</f>
        <v>282</v>
      </c>
    </row>
    <row r="55" spans="1:12" x14ac:dyDescent="0.25">
      <c r="G55" s="23"/>
      <c r="I55" s="35"/>
      <c r="K55" s="35"/>
    </row>
    <row r="56" spans="1:12" x14ac:dyDescent="0.25">
      <c r="G56" s="47" t="s">
        <v>189</v>
      </c>
      <c r="H56" s="48"/>
      <c r="I56" s="48"/>
      <c r="J56" s="49"/>
    </row>
    <row r="57" spans="1:12" ht="14.4" x14ac:dyDescent="0.25">
      <c r="G57" s="24" t="s">
        <v>190</v>
      </c>
      <c r="H57" s="25">
        <v>7.0000000000000001E-3</v>
      </c>
      <c r="I57" s="25">
        <f>K54</f>
        <v>282</v>
      </c>
      <c r="J57" s="36">
        <f t="shared" ref="J57:J61" si="4">H57*I57</f>
        <v>1.974</v>
      </c>
    </row>
    <row r="58" spans="1:12" ht="14.4" x14ac:dyDescent="0.25">
      <c r="G58" s="26" t="s">
        <v>191</v>
      </c>
      <c r="H58" s="27">
        <f>51.16/3600*1.13</f>
        <v>1.6058555555555552E-2</v>
      </c>
      <c r="I58" s="25">
        <v>55</v>
      </c>
      <c r="J58" s="37">
        <f t="shared" si="4"/>
        <v>0.88322055555555534</v>
      </c>
    </row>
    <row r="59" spans="1:12" ht="14.4" x14ac:dyDescent="0.25">
      <c r="G59" s="26" t="s">
        <v>192</v>
      </c>
      <c r="H59" s="27">
        <f>50.27/3600*1.13</f>
        <v>1.5779194444444443E-2</v>
      </c>
      <c r="I59" s="25">
        <v>0</v>
      </c>
      <c r="J59" s="37">
        <f t="shared" si="4"/>
        <v>0</v>
      </c>
    </row>
    <row r="60" spans="1:12" ht="14.4" x14ac:dyDescent="0.25">
      <c r="G60" s="28" t="s">
        <v>193</v>
      </c>
      <c r="H60" s="10">
        <f>53.54/3600*1.13</f>
        <v>1.6805611111111111E-2</v>
      </c>
      <c r="I60" s="25">
        <v>50</v>
      </c>
      <c r="J60" s="37">
        <f t="shared" si="4"/>
        <v>0.84028055555555559</v>
      </c>
    </row>
    <row r="61" spans="1:12" ht="14.4" x14ac:dyDescent="0.25">
      <c r="G61" s="26" t="s">
        <v>194</v>
      </c>
      <c r="H61" s="27">
        <f>43.15/3600*1.13</f>
        <v>1.3544305555555554E-2</v>
      </c>
      <c r="I61" s="25">
        <v>10</v>
      </c>
      <c r="J61" s="37">
        <f t="shared" si="4"/>
        <v>0.13544305555555555</v>
      </c>
    </row>
    <row r="62" spans="1:12" ht="14.4" x14ac:dyDescent="0.25">
      <c r="G62" s="26" t="s">
        <v>195</v>
      </c>
      <c r="H62" s="29"/>
      <c r="I62" s="25"/>
      <c r="J62" s="37">
        <f>SUM(J57:J61)</f>
        <v>3.8329441666666666</v>
      </c>
    </row>
    <row r="63" spans="1:12" ht="14.4" x14ac:dyDescent="0.25">
      <c r="G63" s="26" t="s">
        <v>196</v>
      </c>
      <c r="H63" s="29"/>
      <c r="I63" s="25"/>
      <c r="J63" s="37">
        <f>I54+J62</f>
        <v>14.926574166666668</v>
      </c>
    </row>
    <row r="64" spans="1:12" x14ac:dyDescent="0.25">
      <c r="H64" s="30"/>
      <c r="I64" s="38"/>
      <c r="J64" s="38"/>
      <c r="K64" s="38"/>
    </row>
    <row r="65" spans="7:11" x14ac:dyDescent="0.25">
      <c r="G65" s="50" t="s">
        <v>197</v>
      </c>
      <c r="H65" s="51"/>
      <c r="I65" s="51"/>
      <c r="J65" s="51"/>
      <c r="K65" s="38"/>
    </row>
    <row r="66" spans="7:11" x14ac:dyDescent="0.25">
      <c r="G66" s="39" t="s">
        <v>198</v>
      </c>
      <c r="H66" s="40">
        <v>400</v>
      </c>
      <c r="I66" s="44">
        <v>20</v>
      </c>
      <c r="J66" s="5">
        <f t="shared" ref="J66:J69" si="5">H66*I66</f>
        <v>8000</v>
      </c>
      <c r="K66" s="38"/>
    </row>
    <row r="67" spans="7:11" x14ac:dyDescent="0.25">
      <c r="G67" s="39" t="s">
        <v>199</v>
      </c>
      <c r="H67" s="40">
        <v>2000</v>
      </c>
      <c r="I67" s="40">
        <v>1</v>
      </c>
      <c r="J67" s="5">
        <f t="shared" si="5"/>
        <v>2000</v>
      </c>
      <c r="K67" s="38"/>
    </row>
    <row r="68" spans="7:11" x14ac:dyDescent="0.25">
      <c r="G68" s="41" t="s">
        <v>200</v>
      </c>
      <c r="H68" s="40">
        <v>4000</v>
      </c>
      <c r="I68" s="40">
        <v>2</v>
      </c>
      <c r="J68" s="5">
        <f t="shared" si="5"/>
        <v>8000</v>
      </c>
    </row>
    <row r="69" spans="7:11" x14ac:dyDescent="0.25">
      <c r="G69" s="42" t="s">
        <v>201</v>
      </c>
      <c r="H69" s="40">
        <v>150</v>
      </c>
      <c r="I69" s="40">
        <v>5</v>
      </c>
      <c r="J69" s="5">
        <f t="shared" si="5"/>
        <v>750</v>
      </c>
      <c r="K69" s="34"/>
    </row>
    <row r="70" spans="7:11" x14ac:dyDescent="0.25">
      <c r="G70" s="39" t="s">
        <v>202</v>
      </c>
      <c r="H70" s="40"/>
      <c r="I70" s="40"/>
      <c r="J70" s="5">
        <v>0</v>
      </c>
      <c r="K70" s="32" t="s">
        <v>203</v>
      </c>
    </row>
    <row r="71" spans="7:11" x14ac:dyDescent="0.25">
      <c r="G71" s="39" t="s">
        <v>204</v>
      </c>
      <c r="H71" s="40"/>
      <c r="I71" s="40"/>
      <c r="J71" s="5">
        <v>0</v>
      </c>
      <c r="K71" s="34"/>
    </row>
    <row r="72" spans="7:11" x14ac:dyDescent="0.25">
      <c r="G72" s="43" t="s">
        <v>205</v>
      </c>
      <c r="H72" s="40">
        <v>3800</v>
      </c>
      <c r="I72" s="40">
        <v>1</v>
      </c>
      <c r="J72" s="5">
        <f>H72*I72</f>
        <v>3800</v>
      </c>
      <c r="K72" s="32" t="s">
        <v>206</v>
      </c>
    </row>
  </sheetData>
  <mergeCells count="2">
    <mergeCell ref="G56:J56"/>
    <mergeCell ref="G65:J65"/>
  </mergeCells>
  <phoneticPr fontId="14" type="noConversion"/>
  <pageMargins left="0.75" right="0.75" top="1" bottom="1" header="0.5" footer="0.5"/>
  <pageSetup paperSize="9" pageOrder="overThenDown" orientation="portrait" cellComments="asDisplayed" useFirstPageNumber="1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AICat BOM V1.5 (明细报价)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lsd</dc:creator>
  <cp:lastModifiedBy>江平 马</cp:lastModifiedBy>
  <dcterms:created xsi:type="dcterms:W3CDTF">2026-07-28T23:29:00Z</dcterms:created>
  <dcterms:modified xsi:type="dcterms:W3CDTF">2026-08-13T02:10:49Z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817A5D907C374926B50666666B94A107_11</vt:lpwstr>
  </property>
  <property fmtid="{D5CDD505-2E9C-101B-9397-08002B2CF9AE}" pid="3" name="KSOProductBuildVer">
    <vt:lpwstr>2052-12.1.0.16729</vt:lpwstr>
  </property>
  <property fmtid="{D5CDD505-2E9C-101B-9397-08002B2CF9AE}" pid="4" name="CalculationRule">
    <vt:i4>1</vt:i4>
  </property>
</Properties>
</file>